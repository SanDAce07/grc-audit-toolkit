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f58f5fda9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82423088b814fa9"/>
    <x:sheet xmlns:r="http://schemas.openxmlformats.org/officeDocument/2006/relationships" name="Risk Control Matrix" sheetId="2" r:id="Rdd0bc3c4ca1a4f54"/>
    <x:sheet xmlns:r="http://schemas.openxmlformats.org/officeDocument/2006/relationships" name="Evidence Register" sheetId="3" r:id="Rd838d634807343ba"/>
    <x:sheet xmlns:r="http://schemas.openxmlformats.org/officeDocument/2006/relationships" name="Access Testing" sheetId="4" r:id="Rf464311488c642a3"/>
    <x:sheet xmlns:r="http://schemas.openxmlformats.org/officeDocument/2006/relationships" name="Change Testing" sheetId="5" r:id="Ra2265cbb31374e59"/>
    <x:sheet xmlns:r="http://schemas.openxmlformats.org/officeDocument/2006/relationships" name="Findings Register" sheetId="6" r:id="R6dc0d00630204805"/>
    <x:sheet xmlns:r="http://schemas.openxmlformats.org/officeDocument/2006/relationships" name="POA&amp;M Tracker" sheetId="7" r:id="R3074a8f65baf4517"/>
    <x:sheet xmlns:r="http://schemas.openxmlformats.org/officeDocument/2006/relationships" name="Framework Mapping" sheetId="8" r:id="Rda2f60184a84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AF3F8"/>
      </x:patternFill>
    </x:fill>
    <x:fill>
      <x:patternFill patternType="solid">
        <x:fgColor rgb="FFFFC000"/>
      </x:patternFill>
    </x:fill>
    <x:fill>
      <x:patternFill patternType="solid">
        <x:fgColor rgb="FFFFC000"/>
      </x:patternFill>
    </x:fill>
  </x:fills>
  <x:borders count="5">
    <x:border/>
    <x:border>
      <x:left style="thin">
        <x:color rgb="FF1F3864"/>
      </x:left>
      <x:top style="thin">
        <x:color rgb="FF1F3864"/>
      </x:top>
      <x:bottom style="thin">
        <x:color rgb="FF1F3864"/>
      </x:bottom>
    </x:border>
    <x:border>
      <x:top style="thin">
        <x:color rgb="FF1F3864"/>
      </x:top>
      <x:bottom style="thin">
        <x:color rgb="FF1F3864"/>
      </x:bottom>
    </x:border>
    <x:border>
      <x:right style="thin">
        <x:color rgb="FF1F3864"/>
      </x:right>
      <x:top style="thin">
        <x:color rgb="FF1F3864"/>
      </x:top>
      <x:bottom style="thin">
        <x:color rgb="FF1F38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</x:cellXfs>
  <x:cellStyles count="1">
    <x:cellStyle name="Normal" xfId="0"/>
  </x:cellStyles>
  <x:dxfs count="96"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92D050"/>
        </x:patternFill>
      </x:fill>
    </x:dxf>
    <x:dxf>
      <x:font>
        <x:b/>
        <x:color rgb="FF000000"/>
      </x:font>
      <x:fill>
        <x:patternFill>
          <x:bgColor rgb="FFFFC000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7d7c57eac4d12" /><Relationship Type="http://schemas.openxmlformats.org/officeDocument/2006/relationships/theme" Target="/xl/theme/theme1.xml" Id="R308fd39c928c4681" /><Relationship Type="http://schemas.openxmlformats.org/officeDocument/2006/relationships/sharedStrings" Target="/xl/sharedStrings.xml" Id="R962d1b2541c74d88" /><Relationship Type="http://schemas.openxmlformats.org/officeDocument/2006/relationships/worksheet" Target="/xl/worksheets/sheet1.xml" Id="R682423088b814fa9" /><Relationship Type="http://schemas.openxmlformats.org/officeDocument/2006/relationships/worksheet" Target="/xl/worksheets/sheet2.xml" Id="Rdd0bc3c4ca1a4f54" /><Relationship Type="http://schemas.openxmlformats.org/officeDocument/2006/relationships/worksheet" Target="/xl/worksheets/sheet3.xml" Id="Rd838d634807343ba" /><Relationship Type="http://schemas.openxmlformats.org/officeDocument/2006/relationships/worksheet" Target="/xl/worksheets/sheet4.xml" Id="Rf464311488c642a3" /><Relationship Type="http://schemas.openxmlformats.org/officeDocument/2006/relationships/worksheet" Target="/xl/worksheets/sheet5.xml" Id="Ra2265cbb31374e59" /><Relationship Type="http://schemas.openxmlformats.org/officeDocument/2006/relationships/worksheet" Target="/xl/worksheets/sheet6.xml" Id="R6dc0d00630204805" /><Relationship Type="http://schemas.openxmlformats.org/officeDocument/2006/relationships/worksheet" Target="/xl/worksheets/sheet7.xml" Id="R3074a8f65baf4517" /><Relationship Type="http://schemas.openxmlformats.org/officeDocument/2006/relationships/worksheet" Target="/xl/worksheets/sheet8.xml" Id="Rda2f60184a8444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38d21560c941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Findings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Summary'!$D$4:$D$7</c:f>
              <c:strCache>
                <c:ptCount val="0"/>
              </c:strCache>
            </c:strRef>
          </c:cat>
          <c:val>
            <c:numRef>
              <c:f>'Executive 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8d21560c941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4f834e767c46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" hidden="0" customWidth="1"/>
    <x:col min="4" max="4" width="18" hidden="0" customWidth="1"/>
    <x:col min="5" max="5" width="16" hidden="0" customWidth="1"/>
    <x:col min="6" max="6" width="2" hidden="0" customWidth="1"/>
    <x:col min="7" max="7" width="26" hidden="0" customWidth="1"/>
    <x:col min="8" max="8" width="20" hidden="0" customWidth="1"/>
  </x:cols>
  <x:sheetData>
    <x:row r="1" ht="19.200000762939453" hidden="0" customHeight="1">
      <x:c r="A1" s="6" t="str">
        <x:v>Bayou Cloud Services - ITGC Audit Case Study</x:v>
      </x:c>
      <x:c r="B1" s="7" t="str">
        <x:v>Bayou Cloud Services - ITGC Audit Case Study</x:v>
      </x:c>
      <x:c r="C1" s="7" t="str">
        <x:v>Bayou Cloud Services - ITGC Audit Case Study</x:v>
      </x:c>
      <x:c r="D1" s="7" t="str">
        <x:v>Bayou Cloud Services - ITGC Audit Case Study</x:v>
      </x:c>
      <x:c r="E1" s="7" t="str">
        <x:v>Bayou Cloud Services - ITGC Audit Case Study</x:v>
      </x:c>
      <x:c r="F1" s="7" t="str">
        <x:v>Bayou Cloud Services - ITGC Audit Case Study</x:v>
      </x:c>
      <x:c r="G1" s="7" t="str">
        <x:v>Bayou Cloud Services - ITGC Audit Case Study</x:v>
      </x:c>
      <x:c r="H1" s="8" t="str">
        <x:v>Bayou Cloud Services - ITGC Audit Case Study</x:v>
      </x:c>
    </x:row>
    <x:row r="2"/>
    <x:row r="3" ht="15" hidden="0" customHeight="1">
      <x:c r="A3" s="12" t="str">
        <x:v>Metric</x:v>
      </x:c>
      <x:c r="B3" s="12" t="str">
        <x:v>Value</x:v>
      </x:c>
      <x:c r="D3" s="12" t="str">
        <x:v>Severity</x:v>
      </x:c>
      <x:c r="E3" s="12" t="str">
        <x:v>Count</x:v>
      </x:c>
    </x:row>
    <x:row r="4" ht="15" hidden="0" customHeight="1">
      <x:c r="A4" s="10" t="str">
        <x:v>Audit Period</x:v>
      </x:c>
      <x:c r="B4" s="10" t="str">
        <x:v>2026-01-01 to 2026-06-30</x:v>
      </x:c>
      <x:c r="D4" s="10" t="str">
        <x:v>Critical</x:v>
      </x:c>
      <x:c r="E4" s="10" t="n">
        <x:f>COUNTIF('Findings Register'!C2:C6,D4)</x:f>
        <x:v>2</x:v>
      </x:c>
    </x:row>
    <x:row r="5" ht="15" hidden="0" customHeight="1">
      <x:c r="A5" s="10" t="str">
        <x:v>Overall Conclusion</x:v>
      </x:c>
      <x:c r="B5" s="19" t="str">
        <x:v>Partially Effective</x:v>
      </x:c>
      <x:c r="D5" s="10" t="str">
        <x:v>High</x:v>
      </x:c>
      <x:c r="E5" s="10" t="n">
        <x:f>COUNTIF('Findings Register'!C2:C6,D5)</x:f>
        <x:v>2</x:v>
      </x:c>
    </x:row>
    <x:row r="6" ht="15" hidden="0" customHeight="1">
      <x:c r="A6" s="10" t="str">
        <x:v>Controls Tested</x:v>
      </x:c>
      <x:c r="B6" s="10" t="n">
        <x:f>COUNTA('Risk Control Matrix'!A2:A11)</x:f>
        <x:v>10</x:v>
      </x:c>
      <x:c r="D6" s="10" t="str">
        <x:v>Medium</x:v>
      </x:c>
      <x:c r="E6" s="10" t="n">
        <x:f>COUNTIF('Findings Register'!C2:C6,D6)</x:f>
        <x:v>1</x:v>
      </x:c>
    </x:row>
    <x:row r="7" ht="15" hidden="0" customHeight="1">
      <x:c r="A7" s="10" t="str">
        <x:v>Effective Controls</x:v>
      </x:c>
      <x:c r="B7" s="10" t="n">
        <x:f>COUNTIF('Risk Control Matrix'!I2:I11,"Effective")</x:f>
        <x:v>1</x:v>
      </x:c>
      <x:c r="D7" s="10" t="str">
        <x:v>Low</x:v>
      </x:c>
      <x:c r="E7" s="10" t="n">
        <x:f>COUNTIF('Findings Register'!C2:C6,D7)</x:f>
        <x:v>0</x:v>
      </x:c>
    </x:row>
    <x:row r="8" ht="15" hidden="0" customHeight="1">
      <x:c r="A8" s="10" t="str">
        <x:v>Needs Improvement</x:v>
      </x:c>
      <x:c r="B8" s="10" t="n">
        <x:f>COUNTIF('Risk Control Matrix'!I2:I11,"Needs Improvement")</x:f>
        <x:v>7</x:v>
      </x:c>
    </x:row>
    <x:row r="9" ht="15" hidden="0" customHeight="1">
      <x:c r="A9" s="10" t="str">
        <x:v>Deficient Controls</x:v>
      </x:c>
      <x:c r="B9" s="10" t="n">
        <x:f>COUNTIF('Risk Control Matrix'!I2:I11,"Deficient")</x:f>
        <x:v>2</x:v>
      </x:c>
    </x:row>
    <x:row r="10" ht="15" hidden="0" customHeight="1">
      <x:c r="A10" s="10" t="str">
        <x:v>Total Findings</x:v>
      </x:c>
      <x:c r="B10" s="10" t="n">
        <x:f>COUNTA('Findings Register'!A2:A6)</x:f>
        <x:v>5</x:v>
      </x:c>
    </x:row>
    <x:row r="11" ht="15" hidden="0" customHeight="1">
      <x:c r="A11" s="10" t="str">
        <x:v>Critical Findings</x:v>
      </x:c>
      <x:c r="B11" s="10" t="n">
        <x:f>COUNTIF('Findings Register'!C2:C6,"Critical")</x:f>
        <x:v>2</x:v>
      </x:c>
    </x:row>
    <x:row r="12" ht="15" hidden="0" customHeight="1">
      <x:c r="A12" s="10" t="str">
        <x:v>High Findings</x:v>
      </x:c>
      <x:c r="B12" s="10" t="n">
        <x:f>COUNTIF('Findings Register'!C2:C6,"High")</x:f>
        <x:v>2</x:v>
      </x:c>
    </x:row>
    <x:row r="13"/>
    <x:row r="14" ht="15" hidden="0" customHeight="1">
      <x:c r="A14" s="12" t="str">
        <x:v>Executive Narrative</x:v>
      </x:c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 ht="26.399999618530273" hidden="0" customHeight="1">
      <x:c r="A15" s="15" t="str">
        <x:v>Bayou Cloud Services has foundational IT general controls in place, but the review identified access, change, remediation, and backup evidence gaps that should be corrected before an external audit.</x:v>
      </x:c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 ht="15" hidden="0" customHeight="1">
      <x:c r="A16" s="15" t="str">
        <x:v>Highest Priority: remove terminated-user access, enforce MFA, harden change workflow approvals/testing, and formalize POA&amp;M governance.</x:v>
      </x:c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 ht="15" hidden="0" customHeight="1">
      <x:c r="A17" s="15" t="str">
        <x:v>Portfolio Signal: this workbook demonstrates audit scoping, evidence tracking, control testing, framework mapping, findings documentation, and remediation tracking.</x:v>
      </x:c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 ht="15" hidden="0" customHeight="1">
      <x:c r="A18" s="15" t="str">
        <x:v>Data Notice: all users, systems, records, evidence IDs, and findings are synthetic and created for public portfolio demonstration.</x:v>
      </x:c>
      <x:c r="B18" s="15" t="str"/>
      <x:c r="C18" s="15" t="str"/>
      <x:c r="D18" s="15" t="str"/>
      <x:c r="E18" s="15" t="str"/>
      <x:c r="F18" s="15" t="str"/>
      <x:c r="G18" s="15" t="str"/>
      <x:c r="H18" s="15" t="str"/>
    </x:row>
  </x:sheetData>
  <x:mergeCells>
    <x:mergeCell ref="A1:H1"/>
    <x:mergeCell ref="A14:H14"/>
    <x:mergeCell ref="A15:H15"/>
    <x:mergeCell ref="A16:H16"/>
    <x:mergeCell ref="A17:H17"/>
    <x:mergeCell ref="A18:H18"/>
  </x:mergeCells>
  <x:conditionalFormatting sqref="B10:B12">
    <x:cfRule type="containsText" dxfId="12" priority="13" operator="containsText" text="Critical"/>
    <x:cfRule type="containsText" dxfId="13" priority="14" operator="containsText" text="High"/>
    <x:cfRule type="containsText" dxfId="14" priority="15" operator="containsText" text="Medium"/>
    <x:cfRule type="containsText" dxfId="15" priority="16" operator="containsText" text="Low"/>
  </x:conditionalFormatting>
  <x:pageMargins left="0.7" right="0.7" top="0.75" bottom="0.75" header="0.3" footer="0.3"/>
  <x:drawing xmlns:r="http://schemas.openxmlformats.org/officeDocument/2006/relationships" r:id="Rec4f834e767c46b5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2" hidden="0" customWidth="1"/>
    <x:col min="5" max="5" width="30" hidden="0" customWidth="1"/>
    <x:col min="6" max="6" width="22" hidden="0" customWidth="1"/>
    <x:col min="7" max="7" width="44" hidden="0" customWidth="1"/>
    <x:col min="8" max="8" width="24" hidden="0" customWidth="1"/>
    <x:col min="9" max="9" width="20" hidden="0" customWidth="1"/>
    <x:col min="10" max="10" width="18" hidden="0" customWidth="1"/>
  </x:cols>
  <x:sheetData>
    <x:row r="1" ht="15" hidden="0" customHeight="1">
      <x:c r="A1" s="12" t="str">
        <x:v>Control ID</x:v>
      </x:c>
      <x:c r="B1" s="12" t="str">
        <x:v>Control Area</x:v>
      </x:c>
      <x:c r="C1" s="12" t="str">
        <x:v>Control Objective</x:v>
      </x:c>
      <x:c r="D1" s="12" t="str">
        <x:v>Control Activity</x:v>
      </x:c>
      <x:c r="E1" s="12" t="str">
        <x:v>Criteria</x:v>
      </x:c>
      <x:c r="F1" s="12" t="str">
        <x:v>Evidence ID</x:v>
      </x:c>
      <x:c r="G1" s="12" t="str">
        <x:v>Test Procedure</x:v>
      </x:c>
      <x:c r="H1" s="12" t="str">
        <x:v>Sample/Population</x:v>
      </x:c>
      <x:c r="I1" s="12" t="str">
        <x:v>Conclusion</x:v>
      </x:c>
      <x:c r="J1" s="12" t="str">
        <x:v>Finding ID</x:v>
      </x:c>
    </x:row>
    <x:row r="2" ht="26.399999618530273" hidden="0" customHeight="1">
      <x:c r="A2" s="10" t="str">
        <x:v>AC-01</x:v>
      </x:c>
      <x:c r="B2" s="10" t="str">
        <x:v>Access Management</x:v>
      </x:c>
      <x:c r="C2" s="10" t="str">
        <x:v>Quarterly access reviews confirm users retain only appropriate access.</x:v>
      </x:c>
      <x:c r="D2" s="10" t="str">
        <x:v>Management reviews access for in-scope systems and documents approval.</x:v>
      </x:c>
      <x:c r="E2" s="10" t="str">
        <x:v>SOC 2 CC6.2; NIST AC-2; COBIT DSS05</x:v>
      </x:c>
      <x:c r="F2" s="10" t="str">
        <x:v>E-AC-01; E-AC-04</x:v>
      </x:c>
      <x:c r="G2" s="10" t="str">
        <x:v>Inspect review evidence and test selected users for appropriateness.</x:v>
      </x:c>
      <x:c r="H2" s="10" t="str">
        <x:v>Full access export plus reviewer evidence</x:v>
      </x:c>
      <x:c r="I2" s="10" t="str">
        <x:v>Needs Improvement</x:v>
      </x:c>
      <x:c r="J2" s="10" t="str">
        <x:v>F-001; F-002</x:v>
      </x:c>
    </x:row>
    <x:row r="3" ht="26.399999618530273" hidden="0" customHeight="1">
      <x:c r="A3" s="10" t="str">
        <x:v>AC-02</x:v>
      </x:c>
      <x:c r="B3" s="10" t="str">
        <x:v>Access Management</x:v>
      </x:c>
      <x:c r="C3" s="10" t="str">
        <x:v>Terminated users are removed within 24 hours.</x:v>
      </x:c>
      <x:c r="D3" s="10" t="str">
        <x:v>HR termination reports are reconciled to system access.</x:v>
      </x:c>
      <x:c r="E3" s="10" t="str">
        <x:v>SOC 2 CC6.2; NIST AC-2</x:v>
      </x:c>
      <x:c r="F3" s="10" t="str">
        <x:v>E-AC-02</x:v>
      </x:c>
      <x:c r="G3" s="10" t="str">
        <x:v>Compare terminated users to active system access records.</x:v>
      </x:c>
      <x:c r="H3" s="10" t="str">
        <x:v>Full terminated-user population</x:v>
      </x:c>
      <x:c r="I3" s="10" t="str">
        <x:v>Deficient</x:v>
      </x:c>
      <x:c r="J3" s="10" t="str">
        <x:v>F-001</x:v>
      </x:c>
    </x:row>
    <x:row r="4" ht="15" hidden="0" customHeight="1">
      <x:c r="A4" s="10" t="str">
        <x:v>AC-03</x:v>
      </x:c>
      <x:c r="B4" s="10" t="str">
        <x:v>Access Management</x:v>
      </x:c>
      <x:c r="C4" s="10" t="str">
        <x:v>Privileged and sensitive-system access requires MFA.</x:v>
      </x:c>
      <x:c r="D4" s="10" t="str">
        <x:v>MFA policy applies to admins and high-risk applications.</x:v>
      </x:c>
      <x:c r="E4" s="10" t="str">
        <x:v>SOC 2 CC6.1; NIST IA-2; NIST AC-6</x:v>
      </x:c>
      <x:c r="F4" s="10" t="str">
        <x:v>E-AC-03</x:v>
      </x:c>
      <x:c r="G4" s="10" t="str">
        <x:v>Identify privileged/sensitive users without MFA.</x:v>
      </x:c>
      <x:c r="H4" s="10" t="str">
        <x:v>Full access export</x:v>
      </x:c>
      <x:c r="I4" s="10" t="str">
        <x:v>Deficient</x:v>
      </x:c>
      <x:c r="J4" s="10" t="str">
        <x:v>F-002</x:v>
      </x:c>
    </x:row>
    <x:row r="5" ht="15" hidden="0" customHeight="1">
      <x:c r="A5" s="10" t="str">
        <x:v>AC-04</x:v>
      </x:c>
      <x:c r="B5" s="10" t="str">
        <x:v>Access Management</x:v>
      </x:c>
      <x:c r="C5" s="10" t="str">
        <x:v>Administrative access follows least privilege.</x:v>
      </x:c>
      <x:c r="D5" s="10" t="str">
        <x:v>Non-IT admin access requires documented approval.</x:v>
      </x:c>
      <x:c r="E5" s="10" t="str">
        <x:v>SOC 2 CC6.3; NIST AC-6</x:v>
      </x:c>
      <x:c r="F5" s="10" t="str">
        <x:v>E-AC-01; E-AC-05</x:v>
      </x:c>
      <x:c r="G5" s="10" t="str">
        <x:v>Review admin access against role and department.</x:v>
      </x:c>
      <x:c r="H5" s="10" t="str">
        <x:v>Full access export</x:v>
      </x:c>
      <x:c r="I5" s="10" t="str">
        <x:v>Needs Improvement</x:v>
      </x:c>
      <x:c r="J5" s="10" t="str">
        <x:v>F-002</x:v>
      </x:c>
    </x:row>
    <x:row r="6" ht="26.399999618530273" hidden="0" customHeight="1">
      <x:c r="A6" s="10" t="str">
        <x:v>CM-01</x:v>
      </x:c>
      <x:c r="B6" s="10" t="str">
        <x:v>Change Management</x:v>
      </x:c>
      <x:c r="C6" s="10" t="str">
        <x:v>Changes are approved before implementation.</x:v>
      </x:c>
      <x:c r="D6" s="10" t="str">
        <x:v>Production changes require documented approval.</x:v>
      </x:c>
      <x:c r="E6" s="10" t="str">
        <x:v>SOC 2 CC7.1; NIST CM-3; COBIT BAI06</x:v>
      </x:c>
      <x:c r="F6" s="10" t="str">
        <x:v>E-CM-01; E-CM-02</x:v>
      </x:c>
      <x:c r="G6" s="10" t="str">
        <x:v>Test sampled changes for approval date before implementation date.</x:v>
      </x:c>
      <x:c r="H6" s="10" t="str">
        <x:v>75 changes; 25 sampled</x:v>
      </x:c>
      <x:c r="I6" s="10" t="str">
        <x:v>Needs Improvement</x:v>
      </x:c>
      <x:c r="J6" s="10" t="str">
        <x:v>F-003</x:v>
      </x:c>
    </x:row>
    <x:row r="7" ht="26.399999618530273" hidden="0" customHeight="1">
      <x:c r="A7" s="10" t="str">
        <x:v>CM-02</x:v>
      </x:c>
      <x:c r="B7" s="10" t="str">
        <x:v>Change Management</x:v>
      </x:c>
      <x:c r="C7" s="10" t="str">
        <x:v>Change duties are segregated.</x:v>
      </x:c>
      <x:c r="D7" s="10" t="str">
        <x:v>Requester, approver, and implementer roles are independent.</x:v>
      </x:c>
      <x:c r="E7" s="10" t="str">
        <x:v>SOC 2 CC7.1; NIST CM-3</x:v>
      </x:c>
      <x:c r="F7" s="10" t="str">
        <x:v>E-CM-02; E-CM-03</x:v>
      </x:c>
      <x:c r="G7" s="10" t="str">
        <x:v>Test for requester/implementer and approver/implementer conflicts.</x:v>
      </x:c>
      <x:c r="H7" s="10" t="str">
        <x:v>Selected sample plus exception scan</x:v>
      </x:c>
      <x:c r="I7" s="10" t="str">
        <x:v>Needs Improvement</x:v>
      </x:c>
      <x:c r="J7" s="10" t="str">
        <x:v>F-003</x:v>
      </x:c>
    </x:row>
    <x:row r="8" ht="26.399999618530273" hidden="0" customHeight="1">
      <x:c r="A8" s="10" t="str">
        <x:v>CM-03</x:v>
      </x:c>
      <x:c r="B8" s="10" t="str">
        <x:v>Change Management</x:v>
      </x:c>
      <x:c r="C8" s="10" t="str">
        <x:v>Changes include testing evidence.</x:v>
      </x:c>
      <x:c r="D8" s="10" t="str">
        <x:v>Testing/UAT evidence is attached before closure.</x:v>
      </x:c>
      <x:c r="E8" s="10" t="str">
        <x:v>SOC 2 CC7.1; COBIT BAI06</x:v>
      </x:c>
      <x:c r="F8" s="10" t="str">
        <x:v>E-CM-02</x:v>
      </x:c>
      <x:c r="G8" s="10" t="str">
        <x:v>Inspect testing field and supporting evidence for sampled changes.</x:v>
      </x:c>
      <x:c r="H8" s="10" t="str">
        <x:v>Selected sample</x:v>
      </x:c>
      <x:c r="I8" s="10" t="str">
        <x:v>Needs Improvement</x:v>
      </x:c>
      <x:c r="J8" s="10" t="str">
        <x:v>F-003</x:v>
      </x:c>
    </x:row>
    <x:row r="9" ht="26.399999618530273" hidden="0" customHeight="1">
      <x:c r="A9" s="10" t="str">
        <x:v>OP-01</x:v>
      </x:c>
      <x:c r="B9" s="10" t="str">
        <x:v>Computer Operations</x:v>
      </x:c>
      <x:c r="C9" s="10" t="str">
        <x:v>Audit logging is enabled and reviewed.</x:v>
      </x:c>
      <x:c r="D9" s="10" t="str">
        <x:v>Authentication and administrative logs are retained and monitored.</x:v>
      </x:c>
      <x:c r="E9" s="10" t="str">
        <x:v>SOC 2 CC7.2; NIST AU-2; NIST AU-6</x:v>
      </x:c>
      <x:c r="F9" s="10" t="str">
        <x:v>E-OP-01</x:v>
      </x:c>
      <x:c r="G9" s="10" t="str">
        <x:v>Inspect logging configuration and review evidence.</x:v>
      </x:c>
      <x:c r="H9" s="10" t="str">
        <x:v>One logging configuration package</x:v>
      </x:c>
      <x:c r="I9" s="10" t="str">
        <x:v>Effective</x:v>
      </x:c>
      <x:c r="J9" s="10" t="str"/>
    </x:row>
    <x:row r="10" ht="26.399999618530273" hidden="0" customHeight="1">
      <x:c r="A10" s="10" t="str">
        <x:v>VM-01</x:v>
      </x:c>
      <x:c r="B10" s="10" t="str">
        <x:v>Risk Governance</x:v>
      </x:c>
      <x:c r="C10" s="10" t="str">
        <x:v>Vulnerabilities and risks are tracked through remediation.</x:v>
      </x:c>
      <x:c r="D10" s="10" t="str">
        <x:v>Open risks have owners, due dates, and documented treatment plans.</x:v>
      </x:c>
      <x:c r="E10" s="10" t="str">
        <x:v>NIST RA-5; NIST SI-2; COBIT APO12</x:v>
      </x:c>
      <x:c r="F10" s="10" t="str">
        <x:v>E-VM-01; E-RR-01</x:v>
      </x:c>
      <x:c r="G10" s="10" t="str">
        <x:v>Review risk register for owners, overdue items, and weak controls.</x:v>
      </x:c>
      <x:c r="H10" s="10" t="str">
        <x:v>15 risk records</x:v>
      </x:c>
      <x:c r="I10" s="10" t="str">
        <x:v>Needs Improvement</x:v>
      </x:c>
      <x:c r="J10" s="10" t="str">
        <x:v>F-004</x:v>
      </x:c>
    </x:row>
    <x:row r="11" ht="26.399999618530273" hidden="0" customHeight="1">
      <x:c r="A11" s="10" t="str">
        <x:v>BC-01</x:v>
      </x:c>
      <x:c r="B11" s="10" t="str">
        <x:v>Computer Operations</x:v>
      </x:c>
      <x:c r="C11" s="10" t="str">
        <x:v>Backups are performed and restore tests are evidenced.</x:v>
      </x:c>
      <x:c r="D11" s="10" t="str">
        <x:v>Critical systems have scheduled backups and restore validation.</x:v>
      </x:c>
      <x:c r="E11" s="10" t="str">
        <x:v>SOC 2 CC7.3; NIST CP-9; NIST CP-10</x:v>
      </x:c>
      <x:c r="F11" s="10" t="str">
        <x:v>E-BC-01; E-BC-02</x:v>
      </x:c>
      <x:c r="G11" s="10" t="str">
        <x:v>Review backup logs and restore-test evidence.</x:v>
      </x:c>
      <x:c r="H11" s="10" t="str">
        <x:v>Backup evidence package</x:v>
      </x:c>
      <x:c r="I11" s="10" t="str">
        <x:v>Needs Improvement</x:v>
      </x:c>
      <x:c r="J11" s="10" t="str">
        <x:v>F-005</x:v>
      </x:c>
    </x:row>
  </x:sheetData>
  <x:conditionalFormatting sqref="I2:I11">
    <x:cfRule type="containsText" dxfId="16" priority="1" operator="containsText" text="Effective"/>
    <x:cfRule type="containsText" dxfId="17" priority="2" operator="containsText" text="Needs Improvement"/>
    <x:cfRule type="containsText" dxfId="18" priority="3" operator="containsText" text="Deficient"/>
    <x:cfRule type="containsText" dxfId="19" priority="4" operator="containsText" text="Open"/>
    <x:cfRule type="containsText" dxfId="20" priority="5" operator="containsText" text="In Progress"/>
    <x:cfRule type="containsText" dxfId="21" priority="6" operator="containsText" text="Planned"/>
    <x:cfRule type="containsText" dxfId="22" priority="7" operator="containsText" text="Closed"/>
    <x:cfRule type="containsText" dxfId="23" priority="8" operator="containsText" text="Pass"/>
    <x:cfRule type="containsText" dxfId="24" priority="9" operator="containsText" text="Exception"/>
    <x:cfRule type="containsText" dxfId="25" priority="10" operator="containsText" text="Reliable"/>
    <x:cfRule type="containsText" dxfId="26" priority="11" operator="containsText" text="Partially Reliable"/>
    <x:cfRule type="containsText" dxfId="27" priority="12" operator="containsText" text="Insufficient"/>
  </x:conditionalFormatting>
  <x:dataValidations count="1">
    <x:dataValidation type="list" sqref="I2:I11">
      <x:formula1>"Effective,Needs Improvement,Deficient"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20" hidden="0" customWidth="1"/>
    <x:col min="5" max="5" width="12" hidden="0" customWidth="1"/>
    <x:col min="6" max="6" width="18" hidden="0" customWidth="1"/>
    <x:col min="7" max="7" width="34" hidden="0" customWidth="1"/>
    <x:col min="8" max="8" width="48" hidden="0" customWidth="1"/>
  </x:cols>
  <x:sheetData>
    <x:row r="1" ht="15" hidden="0" customHeight="1">
      <x:c r="A1" s="12" t="str">
        <x:v>Evidence ID</x:v>
      </x:c>
      <x:c r="B1" s="12" t="str">
        <x:v>Control ID</x:v>
      </x:c>
      <x:c r="C1" s="12" t="str">
        <x:v>Evidence Artifact</x:v>
      </x:c>
      <x:c r="D1" s="12" t="str">
        <x:v>Owner</x:v>
      </x:c>
      <x:c r="E1" s="12" t="str">
        <x:v>Received</x:v>
      </x:c>
      <x:c r="F1" s="12" t="str">
        <x:v>Evidence Quality</x:v>
      </x:c>
      <x:c r="G1" s="12" t="str">
        <x:v>Source Reference</x:v>
      </x:c>
      <x:c r="H1" s="12" t="str">
        <x:v>Auditor Notes</x:v>
      </x:c>
    </x:row>
    <x:row r="2" ht="26.399999618530273" hidden="0" customHeight="1">
      <x:c r="A2" s="10" t="str">
        <x:v>E-AC-01</x:v>
      </x:c>
      <x:c r="B2" s="10" t="str">
        <x:v>AC-01; AC-04</x:v>
      </x:c>
      <x:c r="C2" s="10" t="str">
        <x:v>User access listing for AD, ERP, Financial System, and Payroll</x:v>
      </x:c>
      <x:c r="D2" s="10" t="str">
        <x:v>IAM Admin</x:v>
      </x:c>
      <x:c r="E2" s="10" t="str">
        <x:v>Yes</x:v>
      </x:c>
      <x:c r="F2" s="10" t="str">
        <x:v>Reliable</x:v>
      </x:c>
      <x:c r="G2" s="10" t="str">
        <x:v>sample-outputs/access_review_report.xlsx</x:v>
      </x:c>
      <x:c r="H2" s="10" t="str">
        <x:v>System export used for full-population anomaly checks.</x:v>
      </x:c>
    </x:row>
    <x:row r="3" ht="15" hidden="0" customHeight="1">
      <x:c r="A3" s="10" t="str">
        <x:v>E-AC-02</x:v>
      </x:c>
      <x:c r="B3" s="10" t="str">
        <x:v>AC-02</x:v>
      </x:c>
      <x:c r="C3" s="10" t="str">
        <x:v>HR termination report for audit period</x:v>
      </x:c>
      <x:c r="D3" s="10" t="str">
        <x:v>HR Operations</x:v>
      </x:c>
      <x:c r="E3" s="10" t="str">
        <x:v>Yes</x:v>
      </x:c>
      <x:c r="F3" s="10" t="str">
        <x:v>Partially Reliable</x:v>
      </x:c>
      <x:c r="G3" s="10" t="str">
        <x:v>Synthetic HR termination listing</x:v>
      </x:c>
      <x:c r="H3" s="10" t="str">
        <x:v>Used to identify terminated users retaining access.</x:v>
      </x:c>
    </x:row>
    <x:row r="4" ht="15" hidden="0" customHeight="1">
      <x:c r="A4" s="10" t="str">
        <x:v>E-AC-03</x:v>
      </x:c>
      <x:c r="B4" s="10" t="str">
        <x:v>AC-03</x:v>
      </x:c>
      <x:c r="C4" s="10" t="str">
        <x:v>MFA enrollment report</x:v>
      </x:c>
      <x:c r="D4" s="10" t="str">
        <x:v>Security Engineering</x:v>
      </x:c>
      <x:c r="E4" s="10" t="str">
        <x:v>Yes</x:v>
      </x:c>
      <x:c r="F4" s="10" t="str">
        <x:v>Reliable</x:v>
      </x:c>
      <x:c r="G4" s="10" t="str">
        <x:v>Access analyzer MFA field</x:v>
      </x:c>
      <x:c r="H4" s="10" t="str">
        <x:v>Identified privileged and sensitive-system MFA gaps.</x:v>
      </x:c>
    </x:row>
    <x:row r="5" ht="15" hidden="0" customHeight="1">
      <x:c r="A5" s="10" t="str">
        <x:v>E-AC-04</x:v>
      </x:c>
      <x:c r="B5" s="10" t="str">
        <x:v>AC-01</x:v>
      </x:c>
      <x:c r="C5" s="10" t="str">
        <x:v>Quarterly access review attestation</x:v>
      </x:c>
      <x:c r="D5" s="10" t="str">
        <x:v>System Owners</x:v>
      </x:c>
      <x:c r="E5" s="10" t="str">
        <x:v>Partial</x:v>
      </x:c>
      <x:c r="F5" s="10" t="str">
        <x:v>Partially Reliable</x:v>
      </x:c>
      <x:c r="G5" s="10" t="str">
        <x:v>Management attestation placeholder</x:v>
      </x:c>
      <x:c r="H5" s="10" t="str">
        <x:v>Reviewer sign-off not retained for all systems.</x:v>
      </x:c>
    </x:row>
    <x:row r="6" ht="15" hidden="0" customHeight="1">
      <x:c r="A6" s="10" t="str">
        <x:v>E-AC-05</x:v>
      </x:c>
      <x:c r="B6" s="10" t="str">
        <x:v>AC-04</x:v>
      </x:c>
      <x:c r="C6" s="10" t="str">
        <x:v>Admin access approval records</x:v>
      </x:c>
      <x:c r="D6" s="10" t="str">
        <x:v>IAM Admin</x:v>
      </x:c>
      <x:c r="E6" s="10" t="str">
        <x:v>Partial</x:v>
      </x:c>
      <x:c r="F6" s="10" t="str">
        <x:v>Partially Reliable</x:v>
      </x:c>
      <x:c r="G6" s="10" t="str">
        <x:v>Approval notes</x:v>
      </x:c>
      <x:c r="H6" s="10" t="str">
        <x:v>Non-IT admin access lacked clear business justification.</x:v>
      </x:c>
    </x:row>
    <x:row r="7" ht="15" hidden="0" customHeight="1">
      <x:c r="A7" s="10" t="str">
        <x:v>E-CM-01</x:v>
      </x:c>
      <x:c r="B7" s="10" t="str">
        <x:v>CM-01</x:v>
      </x:c>
      <x:c r="C7" s="10" t="str">
        <x:v>Change population export</x:v>
      </x:c>
      <x:c r="D7" s="10" t="str">
        <x:v>Change Manager</x:v>
      </x:c>
      <x:c r="E7" s="10" t="str">
        <x:v>Yes</x:v>
      </x:c>
      <x:c r="F7" s="10" t="str">
        <x:v>Reliable</x:v>
      </x:c>
      <x:c r="G7" s="10" t="str">
        <x:v>sample-outputs/change_log_sample.xlsx</x:v>
      </x:c>
      <x:c r="H7" s="10" t="str">
        <x:v>Population of 75 changes reviewed.</x:v>
      </x:c>
    </x:row>
    <x:row r="8" ht="26.399999618530273" hidden="0" customHeight="1">
      <x:c r="A8" s="10" t="str">
        <x:v>E-CM-02</x:v>
      </x:c>
      <x:c r="B8" s="10" t="str">
        <x:v>CM-01; CM-02; CM-03</x:v>
      </x:c>
      <x:c r="C8" s="10" t="str">
        <x:v>Selected change sample workpaper</x:v>
      </x:c>
      <x:c r="D8" s="10" t="str">
        <x:v>Change Manager</x:v>
      </x:c>
      <x:c r="E8" s="10" t="str">
        <x:v>Yes</x:v>
      </x:c>
      <x:c r="F8" s="10" t="str">
        <x:v>Reliable</x:v>
      </x:c>
      <x:c r="G8" s="10" t="str">
        <x:v>Selected Sample and Exceptions sheets</x:v>
      </x:c>
      <x:c r="H8" s="10" t="str">
        <x:v>Includes targeted emergency changes and random selections.</x:v>
      </x:c>
    </x:row>
    <x:row r="9" ht="15" hidden="0" customHeight="1">
      <x:c r="A9" s="10" t="str">
        <x:v>E-CM-03</x:v>
      </x:c>
      <x:c r="B9" s="10" t="str">
        <x:v>CM-02</x:v>
      </x:c>
      <x:c r="C9" s="10" t="str">
        <x:v>SOD matrix for change process</x:v>
      </x:c>
      <x:c r="D9" s="10" t="str">
        <x:v>Change Manager</x:v>
      </x:c>
      <x:c r="E9" s="10" t="str">
        <x:v>Partial</x:v>
      </x:c>
      <x:c r="F9" s="10" t="str">
        <x:v>Partially Reliable</x:v>
      </x:c>
      <x:c r="G9" s="10" t="str">
        <x:v>SOD notes</x:v>
      </x:c>
      <x:c r="H9" s="10" t="str">
        <x:v>Workflow does not fully prevent conflicts.</x:v>
      </x:c>
    </x:row>
    <x:row r="10" ht="15" hidden="0" customHeight="1">
      <x:c r="A10" s="10" t="str">
        <x:v>E-OP-01</x:v>
      </x:c>
      <x:c r="B10" s="10" t="str">
        <x:v>OP-01</x:v>
      </x:c>
      <x:c r="C10" s="10" t="str">
        <x:v>Audit logging configuration and review evidence</x:v>
      </x:c>
      <x:c r="D10" s="10" t="str">
        <x:v>Security Operations</x:v>
      </x:c>
      <x:c r="E10" s="10" t="str">
        <x:v>Yes</x:v>
      </x:c>
      <x:c r="F10" s="10" t="str">
        <x:v>Reliable</x:v>
      </x:c>
      <x:c r="G10" s="10" t="str">
        <x:v>Synthetic logging checklist</x:v>
      </x:c>
      <x:c r="H10" s="10" t="str">
        <x:v>Logging control concluded effective for this case study.</x:v>
      </x:c>
    </x:row>
    <x:row r="11" ht="15" hidden="0" customHeight="1">
      <x:c r="A11" s="10" t="str">
        <x:v>E-VM-01</x:v>
      </x:c>
      <x:c r="B11" s="10" t="str">
        <x:v>VM-01</x:v>
      </x:c>
      <x:c r="C11" s="10" t="str">
        <x:v>Vulnerability scan and remediation summary</x:v>
      </x:c>
      <x:c r="D11" s="10" t="str">
        <x:v>IT Operations</x:v>
      </x:c>
      <x:c r="E11" s="10" t="str">
        <x:v>Yes</x:v>
      </x:c>
      <x:c r="F11" s="10" t="str">
        <x:v>Partially Reliable</x:v>
      </x:c>
      <x:c r="G11" s="10" t="str">
        <x:v>sample-outputs/risk_assessment.xlsx</x:v>
      </x:c>
      <x:c r="H11" s="10" t="str">
        <x:v>Overdue remediation items require escalation.</x:v>
      </x:c>
    </x:row>
    <x:row r="12" ht="15" hidden="0" customHeight="1">
      <x:c r="A12" s="10" t="str">
        <x:v>E-RR-01</x:v>
      </x:c>
      <x:c r="B12" s="10" t="str">
        <x:v>VM-01</x:v>
      </x:c>
      <x:c r="C12" s="10" t="str">
        <x:v>IT risk register</x:v>
      </x:c>
      <x:c r="D12" s="10" t="str">
        <x:v>GRC Owner</x:v>
      </x:c>
      <x:c r="E12" s="10" t="str">
        <x:v>Yes</x:v>
      </x:c>
      <x:c r="F12" s="10" t="str">
        <x:v>Reliable</x:v>
      </x:c>
      <x:c r="G12" s="10" t="str">
        <x:v>Risk Register and Exceptions sheets</x:v>
      </x:c>
      <x:c r="H12" s="10" t="str">
        <x:v>Used for residual risk and governance review.</x:v>
      </x:c>
    </x:row>
    <x:row r="13" ht="15" hidden="0" customHeight="1">
      <x:c r="A13" s="10" t="str">
        <x:v>E-BC-01</x:v>
      </x:c>
      <x:c r="B13" s="10" t="str">
        <x:v>BC-01</x:v>
      </x:c>
      <x:c r="C13" s="10" t="str">
        <x:v>Backup job completion logs</x:v>
      </x:c>
      <x:c r="D13" s="10" t="str">
        <x:v>IT Operations</x:v>
      </x:c>
      <x:c r="E13" s="10" t="str">
        <x:v>Yes</x:v>
      </x:c>
      <x:c r="F13" s="10" t="str">
        <x:v>Reliable</x:v>
      </x:c>
      <x:c r="G13" s="10" t="str">
        <x:v>Backup evidence package</x:v>
      </x:c>
      <x:c r="H13" s="10" t="str">
        <x:v>Job success logs available.</x:v>
      </x:c>
    </x:row>
    <x:row r="14" ht="15" hidden="0" customHeight="1">
      <x:c r="A14" s="10" t="str">
        <x:v>E-BC-02</x:v>
      </x:c>
      <x:c r="B14" s="10" t="str">
        <x:v>BC-01</x:v>
      </x:c>
      <x:c r="C14" s="10" t="str">
        <x:v>Restore test sign-off and validation evidence</x:v>
      </x:c>
      <x:c r="D14" s="10" t="str">
        <x:v>IT Operations</x:v>
      </x:c>
      <x:c r="E14" s="10" t="str">
        <x:v>Partial</x:v>
      </x:c>
      <x:c r="F14" s="10" t="str">
        <x:v>Insufficient</x:v>
      </x:c>
      <x:c r="G14" s="10" t="str">
        <x:v>Restore evidence placeholder</x:v>
      </x:c>
      <x:c r="H14" s="10" t="str">
        <x:v>Missing complete validation and approver sign-off.</x:v>
      </x:c>
    </x:row>
  </x:sheetData>
  <x:conditionalFormatting sqref="F2:F14">
    <x:cfRule type="containsText" dxfId="28" priority="1" operator="containsText" text="Effective"/>
    <x:cfRule type="containsText" dxfId="29" priority="2" operator="containsText" text="Needs Improvement"/>
    <x:cfRule type="containsText" dxfId="30" priority="3" operator="containsText" text="Deficient"/>
    <x:cfRule type="containsText" dxfId="31" priority="4" operator="containsText" text="Open"/>
    <x:cfRule type="containsText" dxfId="32" priority="5" operator="containsText" text="In Progress"/>
    <x:cfRule type="containsText" dxfId="33" priority="6" operator="containsText" text="Planned"/>
    <x:cfRule type="containsText" dxfId="34" priority="7" operator="containsText" text="Closed"/>
    <x:cfRule type="containsText" dxfId="35" priority="8" operator="containsText" text="Pass"/>
    <x:cfRule type="containsText" dxfId="36" priority="9" operator="containsText" text="Exception"/>
    <x:cfRule type="containsText" dxfId="37" priority="10" operator="containsText" text="Reliable"/>
    <x:cfRule type="containsText" dxfId="38" priority="11" operator="containsText" text="Partially Reliable"/>
    <x:cfRule type="containsText" dxfId="39" priority="12" operator="containsText" text="Insufficien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14" hidden="0" customWidth="1"/>
    <x:col min="5" max="5" width="16" hidden="0" customWidth="1"/>
    <x:col min="6" max="6" width="12" hidden="0" customWidth="1"/>
    <x:col min="7" max="7" width="28" hidden="0" customWidth="1"/>
    <x:col min="8" max="8" width="14" hidden="0" customWidth="1"/>
    <x:col min="9" max="9" width="16" hidden="0" customWidth="1"/>
    <x:col min="10" max="10" width="50" hidden="0" customWidth="1"/>
  </x:cols>
  <x:sheetData>
    <x:row r="1" ht="15" hidden="0" customHeight="1">
      <x:c r="A1" s="12" t="str">
        <x:v>Sample #</x:v>
      </x:c>
      <x:c r="B1" s="12" t="str">
        <x:v>User ID</x:v>
      </x:c>
      <x:c r="C1" s="12" t="str">
        <x:v>System</x:v>
      </x:c>
      <x:c r="D1" s="12" t="str">
        <x:v>Status</x:v>
      </x:c>
      <x:c r="E1" s="12" t="str">
        <x:v>Access Level</x:v>
      </x:c>
      <x:c r="F1" s="12" t="str">
        <x:v>MFA Enabled</x:v>
      </x:c>
      <x:c r="G1" s="12" t="str">
        <x:v>Test Performed</x:v>
      </x:c>
      <x:c r="H1" s="12" t="str">
        <x:v>Result</x:v>
      </x:c>
      <x:c r="I1" s="12" t="str">
        <x:v>Finding ID</x:v>
      </x:c>
      <x:c r="J1" s="12" t="str">
        <x:v>Auditor Conclusion</x:v>
      </x:c>
    </x:row>
    <x:row r="2" ht="15" hidden="0" customHeight="1">
      <x:c r="A2" s="10" t="n">
        <x:v>1</x:v>
      </x:c>
      <x:c r="B2" s="10" t="str">
        <x:v>U004</x:v>
      </x:c>
      <x:c r="C2" s="10" t="str">
        <x:v>ERP</x:v>
      </x:c>
      <x:c r="D2" s="10" t="str">
        <x:v>Terminated</x:v>
      </x:c>
      <x:c r="E2" s="10" t="str">
        <x:v>Read/Write</x:v>
      </x:c>
      <x:c r="F2" s="10" t="str">
        <x:v>Yes</x:v>
      </x:c>
      <x:c r="G2" s="10" t="str">
        <x:v>Terminated-user access review</x:v>
      </x:c>
      <x:c r="H2" s="10" t="str">
        <x:v>Exception</x:v>
      </x:c>
      <x:c r="I2" s="10" t="str">
        <x:v>F-001</x:v>
      </x:c>
      <x:c r="J2" s="10" t="str">
        <x:v>Access should have been removed within 24 hours.</x:v>
      </x:c>
    </x:row>
    <x:row r="3" ht="15" hidden="0" customHeight="1">
      <x:c r="A3" s="10" t="n">
        <x:v>2</x:v>
      </x:c>
      <x:c r="B3" s="10" t="str">
        <x:v>U009</x:v>
      </x:c>
      <x:c r="C3" s="10" t="str">
        <x:v>Payroll</x:v>
      </x:c>
      <x:c r="D3" s="10" t="str">
        <x:v>Terminated</x:v>
      </x:c>
      <x:c r="E3" s="10" t="str">
        <x:v>Read/Write</x:v>
      </x:c>
      <x:c r="F3" s="10" t="str">
        <x:v>No</x:v>
      </x:c>
      <x:c r="G3" s="10" t="str">
        <x:v>Terminated-user and MFA review</x:v>
      </x:c>
      <x:c r="H3" s="10" t="str">
        <x:v>Exception</x:v>
      </x:c>
      <x:c r="I3" s="10" t="str">
        <x:v>F-001; F-002</x:v>
      </x:c>
      <x:c r="J3" s="10" t="str">
        <x:v>Critical access gap due terminated status and missing MFA.</x:v>
      </x:c>
    </x:row>
    <x:row r="4" ht="15" hidden="0" customHeight="1">
      <x:c r="A4" s="10" t="n">
        <x:v>3</x:v>
      </x:c>
      <x:c r="B4" s="10" t="str">
        <x:v>U006</x:v>
      </x:c>
      <x:c r="C4" s="10" t="str">
        <x:v>Active Directory</x:v>
      </x:c>
      <x:c r="D4" s="10" t="str">
        <x:v>Active</x:v>
      </x:c>
      <x:c r="E4" s="10" t="str">
        <x:v>Admin</x:v>
      </x:c>
      <x:c r="F4" s="10" t="str">
        <x:v>No</x:v>
      </x:c>
      <x:c r="G4" s="10" t="str">
        <x:v>Privileged MFA review</x:v>
      </x:c>
      <x:c r="H4" s="10" t="str">
        <x:v>Exception</x:v>
      </x:c>
      <x:c r="I4" s="10" t="str">
        <x:v>F-002</x:v>
      </x:c>
      <x:c r="J4" s="10" t="str">
        <x:v>Privileged access without MFA.</x:v>
      </x:c>
    </x:row>
    <x:row r="5" ht="15" hidden="0" customHeight="1">
      <x:c r="A5" s="10" t="n">
        <x:v>4</x:v>
      </x:c>
      <x:c r="B5" s="10" t="str">
        <x:v>U010</x:v>
      </x:c>
      <x:c r="C5" s="10" t="str">
        <x:v>Financial System</x:v>
      </x:c>
      <x:c r="D5" s="10" t="str">
        <x:v>Active</x:v>
      </x:c>
      <x:c r="E5" s="10" t="str">
        <x:v>Read/Write</x:v>
      </x:c>
      <x:c r="F5" s="10" t="str">
        <x:v>No</x:v>
      </x:c>
      <x:c r="G5" s="10" t="str">
        <x:v>Sensitive-system MFA review</x:v>
      </x:c>
      <x:c r="H5" s="10" t="str">
        <x:v>Exception</x:v>
      </x:c>
      <x:c r="I5" s="10" t="str">
        <x:v>F-002</x:v>
      </x:c>
      <x:c r="J5" s="10" t="str">
        <x:v>Sensitive-system access without MFA.</x:v>
      </x:c>
    </x:row>
    <x:row r="6" ht="15" hidden="0" customHeight="1">
      <x:c r="A6" s="10" t="n">
        <x:v>5</x:v>
      </x:c>
      <x:c r="B6" s="10" t="str">
        <x:v>U007</x:v>
      </x:c>
      <x:c r="C6" s="10" t="str">
        <x:v>ERP</x:v>
      </x:c>
      <x:c r="D6" s="10" t="str">
        <x:v>Active</x:v>
      </x:c>
      <x:c r="E6" s="10" t="str">
        <x:v>Admin</x:v>
      </x:c>
      <x:c r="F6" s="10" t="str">
        <x:v>Yes</x:v>
      </x:c>
      <x:c r="G6" s="10" t="str">
        <x:v>Least privilege review</x:v>
      </x:c>
      <x:c r="H6" s="10" t="str">
        <x:v>Exception</x:v>
      </x:c>
      <x:c r="I6" s="10" t="str">
        <x:v>F-002</x:v>
      </x:c>
      <x:c r="J6" s="10" t="str">
        <x:v>Finance user with admin-level access.</x:v>
      </x:c>
    </x:row>
    <x:row r="7" ht="15" hidden="0" customHeight="1">
      <x:c r="A7" s="10" t="n">
        <x:v>6</x:v>
      </x:c>
      <x:c r="B7" s="10" t="str">
        <x:v>U005</x:v>
      </x:c>
      <x:c r="C7" s="10" t="str">
        <x:v>HR System</x:v>
      </x:c>
      <x:c r="D7" s="10" t="str">
        <x:v>Active</x:v>
      </x:c>
      <x:c r="E7" s="10" t="str">
        <x:v>Read</x:v>
      </x:c>
      <x:c r="F7" s="10" t="str">
        <x:v>Yes</x:v>
      </x:c>
      <x:c r="G7" s="10" t="str">
        <x:v>Dormant account review</x:v>
      </x:c>
      <x:c r="H7" s="10" t="str">
        <x:v>Exception</x:v>
      </x:c>
      <x:c r="I7" s="10" t="str"/>
      <x:c r="J7" s="10" t="str">
        <x:v>Dormant account should be re-certified.</x:v>
      </x:c>
    </x:row>
    <x:row r="8" ht="15" hidden="0" customHeight="1">
      <x:c r="A8" s="10" t="n">
        <x:v>7</x:v>
      </x:c>
      <x:c r="B8" s="10" t="str">
        <x:v>U002</x:v>
      </x:c>
      <x:c r="C8" s="10" t="str">
        <x:v>Active Directory</x:v>
      </x:c>
      <x:c r="D8" s="10" t="str">
        <x:v>Active</x:v>
      </x:c>
      <x:c r="E8" s="10" t="str">
        <x:v>Admin</x:v>
      </x:c>
      <x:c r="F8" s="10" t="str">
        <x:v>Yes</x:v>
      </x:c>
      <x:c r="G8" s="10" t="str">
        <x:v>Privileged access review</x:v>
      </x:c>
      <x:c r="H8" s="10" t="str">
        <x:v>Pass</x:v>
      </x:c>
      <x:c r="I8" s="10" t="str"/>
      <x:c r="J8" s="10" t="str">
        <x:v>Admin access aligned to IT role and MFA enabled.</x:v>
      </x:c>
    </x:row>
    <x:row r="9" ht="15" hidden="0" customHeight="1">
      <x:c r="A9" s="10" t="n">
        <x:v>8</x:v>
      </x:c>
      <x:c r="B9" s="10" t="str">
        <x:v>U011</x:v>
      </x:c>
      <x:c r="C9" s="10" t="str">
        <x:v>Active Directory</x:v>
      </x:c>
      <x:c r="D9" s="10" t="str">
        <x:v>Active</x:v>
      </x:c>
      <x:c r="E9" s="10" t="str">
        <x:v>Read</x:v>
      </x:c>
      <x:c r="F9" s="10" t="str">
        <x:v>Yes</x:v>
      </x:c>
      <x:c r="G9" s="10" t="str">
        <x:v>Standard access review</x:v>
      </x:c>
      <x:c r="H9" s="10" t="str">
        <x:v>Pass</x:v>
      </x:c>
      <x:c r="I9" s="10" t="str"/>
      <x:c r="J9" s="10" t="str">
        <x:v>No exception noted.</x:v>
      </x:c>
    </x:row>
  </x:sheetData>
  <x:conditionalFormatting sqref="H2:H9">
    <x:cfRule type="containsText" dxfId="40" priority="1" operator="containsText" text="Effective"/>
    <x:cfRule type="containsText" dxfId="41" priority="2" operator="containsText" text="Needs Improvement"/>
    <x:cfRule type="containsText" dxfId="42" priority="3" operator="containsText" text="Deficient"/>
    <x:cfRule type="containsText" dxfId="43" priority="4" operator="containsText" text="Open"/>
    <x:cfRule type="containsText" dxfId="44" priority="5" operator="containsText" text="In Progress"/>
    <x:cfRule type="containsText" dxfId="45" priority="6" operator="containsText" text="Planned"/>
    <x:cfRule type="containsText" dxfId="46" priority="7" operator="containsText" text="Closed"/>
    <x:cfRule type="containsText" dxfId="47" priority="8" operator="containsText" text="Pass"/>
    <x:cfRule type="containsText" dxfId="48" priority="9" operator="containsText" text="Exception"/>
    <x:cfRule type="containsText" dxfId="49" priority="10" operator="containsText" text="Reliable"/>
    <x:cfRule type="containsText" dxfId="50" priority="11" operator="containsText" text="Partially Reliable"/>
    <x:cfRule type="containsText" dxfId="51" priority="12" operator="containsText" text="Insufficien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2" hidden="0" customWidth="1"/>
    <x:col min="5" max="5" width="18" hidden="0" customWidth="1"/>
    <x:col min="6" max="6" width="17" hidden="0" customWidth="1"/>
    <x:col min="7" max="7" width="15" hidden="0" customWidth="1"/>
    <x:col min="8" max="8" width="22" hidden="0" customWidth="1"/>
    <x:col min="9" max="9" width="14" hidden="0" customWidth="1"/>
    <x:col min="10" max="10" width="16" hidden="0" customWidth="1"/>
    <x:col min="11" max="11" width="48" hidden="0" customWidth="1"/>
  </x:cols>
  <x:sheetData>
    <x:row r="1" ht="15" hidden="0" customHeight="1">
      <x:c r="A1" s="12" t="str">
        <x:v>Sample #</x:v>
      </x:c>
      <x:c r="B1" s="12" t="str">
        <x:v>Change ID</x:v>
      </x:c>
      <x:c r="C1" s="12" t="str">
        <x:v>Category</x:v>
      </x:c>
      <x:c r="D1" s="12" t="str">
        <x:v>Selection Method</x:v>
      </x:c>
      <x:c r="E1" s="12" t="str">
        <x:v>Approval Documented</x:v>
      </x:c>
      <x:c r="F1" s="12" t="str">
        <x:v>Testing Evidence</x:v>
      </x:c>
      <x:c r="G1" s="12" t="str">
        <x:v>SOD Verified</x:v>
      </x:c>
      <x:c r="H1" s="12" t="str">
        <x:v>Implementation Timing</x:v>
      </x:c>
      <x:c r="I1" s="12" t="str">
        <x:v>Result</x:v>
      </x:c>
      <x:c r="J1" s="12" t="str">
        <x:v>Finding ID</x:v>
      </x:c>
      <x:c r="K1" s="12" t="str">
        <x:v>Auditor Notes</x:v>
      </x:c>
    </x:row>
    <x:row r="2" ht="15" hidden="0" customHeight="1">
      <x:c r="A2" s="10" t="n">
        <x:v>1</x:v>
      </x:c>
      <x:c r="B2" s="10" t="str">
        <x:v>CHG-0005</x:v>
      </x:c>
      <x:c r="C2" s="10" t="str">
        <x:v>Normal</x:v>
      </x:c>
      <x:c r="D2" s="10" t="str">
        <x:v>Random Sample</x:v>
      </x:c>
      <x:c r="E2" s="10" t="str">
        <x:v>No</x:v>
      </x:c>
      <x:c r="F2" s="10" t="str">
        <x:v>Yes</x:v>
      </x:c>
      <x:c r="G2" s="10" t="str">
        <x:v>Yes</x:v>
      </x:c>
      <x:c r="H2" s="10" t="str">
        <x:v>Not assessed</x:v>
      </x:c>
      <x:c r="I2" s="10" t="str">
        <x:v>Exception</x:v>
      </x:c>
      <x:c r="J2" s="10" t="str">
        <x:v>F-003</x:v>
      </x:c>
      <x:c r="K2" s="10" t="str">
        <x:v>Missing approval.</x:v>
      </x:c>
    </x:row>
    <x:row r="3" ht="26.399999618530273" hidden="0" customHeight="1">
      <x:c r="A3" s="10" t="n">
        <x:v>2</x:v>
      </x:c>
      <x:c r="B3" s="10" t="str">
        <x:v>CHG-0010</x:v>
      </x:c>
      <x:c r="C3" s="10" t="str">
        <x:v>Normal</x:v>
      </x:c>
      <x:c r="D3" s="10" t="str">
        <x:v>Random Sample</x:v>
      </x:c>
      <x:c r="E3" s="10" t="str">
        <x:v>Yes</x:v>
      </x:c>
      <x:c r="F3" s="10" t="str">
        <x:v>Yes</x:v>
      </x:c>
      <x:c r="G3" s="10" t="str">
        <x:v>No</x:v>
      </x:c>
      <x:c r="H3" s="10" t="str">
        <x:v>Approved before implementation</x:v>
      </x:c>
      <x:c r="I3" s="10" t="str">
        <x:v>Exception</x:v>
      </x:c>
      <x:c r="J3" s="10" t="str">
        <x:v>F-003</x:v>
      </x:c>
      <x:c r="K3" s="10" t="str">
        <x:v>Requester also implemented change.</x:v>
      </x:c>
    </x:row>
    <x:row r="4" ht="15" hidden="0" customHeight="1">
      <x:c r="A4" s="10" t="n">
        <x:v>3</x:v>
      </x:c>
      <x:c r="B4" s="10" t="str">
        <x:v>CHG-0015</x:v>
      </x:c>
      <x:c r="C4" s="10" t="str">
        <x:v>Emergency</x:v>
      </x:c>
      <x:c r="D4" s="10" t="str">
        <x:v>Targeted Emergency</x:v>
      </x:c>
      <x:c r="E4" s="10" t="str">
        <x:v>Yes</x:v>
      </x:c>
      <x:c r="F4" s="10" t="str">
        <x:v>No</x:v>
      </x:c>
      <x:c r="G4" s="10" t="str">
        <x:v>Yes</x:v>
      </x:c>
      <x:c r="H4" s="10" t="str">
        <x:v>Same-day emergency</x:v>
      </x:c>
      <x:c r="I4" s="10" t="str">
        <x:v>Exception</x:v>
      </x:c>
      <x:c r="J4" s="10" t="str">
        <x:v>F-003</x:v>
      </x:c>
      <x:c r="K4" s="10" t="str">
        <x:v>Emergency change lacked testing evidence.</x:v>
      </x:c>
    </x:row>
    <x:row r="5" ht="15" hidden="0" customHeight="1">
      <x:c r="A5" s="10" t="n">
        <x:v>4</x:v>
      </x:c>
      <x:c r="B5" s="10" t="str">
        <x:v>CHG-0020</x:v>
      </x:c>
      <x:c r="C5" s="10" t="str">
        <x:v>Normal</x:v>
      </x:c>
      <x:c r="D5" s="10" t="str">
        <x:v>Random Sample</x:v>
      </x:c>
      <x:c r="E5" s="10" t="str">
        <x:v>Yes</x:v>
      </x:c>
      <x:c r="F5" s="10" t="str">
        <x:v>Yes</x:v>
      </x:c>
      <x:c r="G5" s="10" t="str">
        <x:v>Yes</x:v>
      </x:c>
      <x:c r="H5" s="10" t="str">
        <x:v>Implemented before approval</x:v>
      </x:c>
      <x:c r="I5" s="10" t="str">
        <x:v>Exception</x:v>
      </x:c>
      <x:c r="J5" s="10" t="str">
        <x:v>F-003</x:v>
      </x:c>
      <x:c r="K5" s="10" t="str">
        <x:v>Implementation date precedes approval date.</x:v>
      </x:c>
    </x:row>
    <x:row r="6" ht="26.399999618530273" hidden="0" customHeight="1">
      <x:c r="A6" s="10" t="n">
        <x:v>5</x:v>
      </x:c>
      <x:c r="B6" s="10" t="str">
        <x:v>CHG-0025</x:v>
      </x:c>
      <x:c r="C6" s="10" t="str">
        <x:v>Normal</x:v>
      </x:c>
      <x:c r="D6" s="10" t="str">
        <x:v>Random Sample</x:v>
      </x:c>
      <x:c r="E6" s="10" t="str">
        <x:v>Yes</x:v>
      </x:c>
      <x:c r="F6" s="10" t="str">
        <x:v>No</x:v>
      </x:c>
      <x:c r="G6" s="10" t="str">
        <x:v>Yes</x:v>
      </x:c>
      <x:c r="H6" s="10" t="str">
        <x:v>Approved before implementation</x:v>
      </x:c>
      <x:c r="I6" s="10" t="str">
        <x:v>Exception</x:v>
      </x:c>
      <x:c r="J6" s="10" t="str">
        <x:v>F-003</x:v>
      </x:c>
      <x:c r="K6" s="10" t="str">
        <x:v>No recorded testing evidence.</x:v>
      </x:c>
    </x:row>
    <x:row r="7" ht="26.399999618530273" hidden="0" customHeight="1">
      <x:c r="A7" s="10" t="n">
        <x:v>6</x:v>
      </x:c>
      <x:c r="B7" s="10" t="str">
        <x:v>CHG-0035</x:v>
      </x:c>
      <x:c r="C7" s="10" t="str">
        <x:v>Routine</x:v>
      </x:c>
      <x:c r="D7" s="10" t="str">
        <x:v>Random Sample</x:v>
      </x:c>
      <x:c r="E7" s="10" t="str">
        <x:v>Yes</x:v>
      </x:c>
      <x:c r="F7" s="10" t="str">
        <x:v>Yes</x:v>
      </x:c>
      <x:c r="G7" s="10" t="str">
        <x:v>No</x:v>
      </x:c>
      <x:c r="H7" s="10" t="str">
        <x:v>Approved before implementation</x:v>
      </x:c>
      <x:c r="I7" s="10" t="str">
        <x:v>Exception</x:v>
      </x:c>
      <x:c r="J7" s="10" t="str">
        <x:v>F-003</x:v>
      </x:c>
      <x:c r="K7" s="10" t="str">
        <x:v>Approver also implemented change.</x:v>
      </x:c>
    </x:row>
    <x:row r="8" ht="15" hidden="0" customHeight="1">
      <x:c r="A8" s="10" t="n">
        <x:v>7</x:v>
      </x:c>
      <x:c r="B8" s="10" t="str">
        <x:v>CHG-0040</x:v>
      </x:c>
      <x:c r="C8" s="10" t="str">
        <x:v>Routine</x:v>
      </x:c>
      <x:c r="D8" s="10" t="str">
        <x:v>Random Sample</x:v>
      </x:c>
      <x:c r="E8" s="10" t="str">
        <x:v>Yes</x:v>
      </x:c>
      <x:c r="F8" s="10" t="str">
        <x:v>Yes</x:v>
      </x:c>
      <x:c r="G8" s="10" t="str">
        <x:v>Yes</x:v>
      </x:c>
      <x:c r="H8" s="10" t="str">
        <x:v>Missing implementation date</x:v>
      </x:c>
      <x:c r="I8" s="10" t="str">
        <x:v>Exception</x:v>
      </x:c>
      <x:c r="J8" s="10" t="str">
        <x:v>F-003</x:v>
      </x:c>
      <x:c r="K8" s="10" t="str">
        <x:v>Open change missing implementation date.</x:v>
      </x:c>
    </x:row>
    <x:row r="9" ht="26.399999618530273" hidden="0" customHeight="1">
      <x:c r="A9" s="10" t="n">
        <x:v>8</x:v>
      </x:c>
      <x:c r="B9" s="10" t="str">
        <x:v>CHG-0060</x:v>
      </x:c>
      <x:c r="C9" s="10" t="str">
        <x:v>Emergency</x:v>
      </x:c>
      <x:c r="D9" s="10" t="str">
        <x:v>Targeted Emergency</x:v>
      </x:c>
      <x:c r="E9" s="10" t="str">
        <x:v>Yes</x:v>
      </x:c>
      <x:c r="F9" s="10" t="str">
        <x:v>Yes</x:v>
      </x:c>
      <x:c r="G9" s="10" t="str">
        <x:v>Yes</x:v>
      </x:c>
      <x:c r="H9" s="10" t="str">
        <x:v>Approved before implementation</x:v>
      </x:c>
      <x:c r="I9" s="10" t="str">
        <x:v>Pass</x:v>
      </x:c>
      <x:c r="J9" s="10" t="str"/>
      <x:c r="K9" s="10" t="str">
        <x:v>No exception noted.</x:v>
      </x:c>
    </x:row>
  </x:sheetData>
  <x:conditionalFormatting sqref="I2:I9">
    <x:cfRule type="containsText" dxfId="52" priority="1" operator="containsText" text="Effective"/>
    <x:cfRule type="containsText" dxfId="53" priority="2" operator="containsText" text="Needs Improvement"/>
    <x:cfRule type="containsText" dxfId="54" priority="3" operator="containsText" text="Deficient"/>
    <x:cfRule type="containsText" dxfId="55" priority="4" operator="containsText" text="Open"/>
    <x:cfRule type="containsText" dxfId="56" priority="5" operator="containsText" text="In Progress"/>
    <x:cfRule type="containsText" dxfId="57" priority="6" operator="containsText" text="Planned"/>
    <x:cfRule type="containsText" dxfId="58" priority="7" operator="containsText" text="Closed"/>
    <x:cfRule type="containsText" dxfId="59" priority="8" operator="containsText" text="Pass"/>
    <x:cfRule type="containsText" dxfId="60" priority="9" operator="containsText" text="Exception"/>
    <x:cfRule type="containsText" dxfId="61" priority="10" operator="containsText" text="Reliable"/>
    <x:cfRule type="containsText" dxfId="62" priority="11" operator="containsText" text="Partially Reliable"/>
    <x:cfRule type="containsText" dxfId="63" priority="12" operator="containsText" text="Insufficien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14" hidden="0" customWidth="1"/>
    <x:col min="4" max="4" width="20" hidden="0" customWidth="1"/>
    <x:col min="5" max="5" width="34" hidden="0" customWidth="1"/>
    <x:col min="6" max="6" width="46" hidden="0" customWidth="1"/>
    <x:col min="7" max="7" width="46" hidden="0" customWidth="1"/>
    <x:col min="8" max="8" width="48" hidden="0" customWidth="1"/>
    <x:col min="9" max="9" width="48" hidden="0" customWidth="1"/>
    <x:col min="10" max="10" width="14" hidden="0" customWidth="1"/>
  </x:cols>
  <x:sheetData>
    <x:row r="1" ht="15" hidden="0" customHeight="1">
      <x:c r="A1" s="12" t="str">
        <x:v>Finding ID</x:v>
      </x:c>
      <x:c r="B1" s="12" t="str">
        <x:v>Title</x:v>
      </x:c>
      <x:c r="C1" s="12" t="str">
        <x:v>Severity</x:v>
      </x:c>
      <x:c r="D1" s="12" t="str">
        <x:v>Control Area</x:v>
      </x:c>
      <x:c r="E1" s="12" t="str">
        <x:v>Criteria</x:v>
      </x:c>
      <x:c r="F1" s="12" t="str">
        <x:v>Condition</x:v>
      </x:c>
      <x:c r="G1" s="12" t="str">
        <x:v>Risk / Effect</x:v>
      </x:c>
      <x:c r="H1" s="12" t="str">
        <x:v>Recommendation</x:v>
      </x:c>
      <x:c r="I1" s="12" t="str">
        <x:v>Management Response</x:v>
      </x:c>
      <x:c r="J1" s="12" t="str">
        <x:v>Status</x:v>
      </x:c>
    </x:row>
    <x:row r="2" ht="26.399999618530273" hidden="0" customHeight="1">
      <x:c r="A2" s="10" t="str">
        <x:v>F-001</x:v>
      </x:c>
      <x:c r="B2" s="10" t="str">
        <x:v>Terminated users retained active access</x:v>
      </x:c>
      <x:c r="C2" s="10" t="str">
        <x:v>Critical</x:v>
      </x:c>
      <x:c r="D2" s="10" t="str">
        <x:v>Access Management</x:v>
      </x:c>
      <x:c r="E2" s="10" t="str">
        <x:v>NIST AC-2; SOC 2 CC6.2; COBIT DSS05</x:v>
      </x:c>
      <x:c r="F2" s="10" t="str">
        <x:v>Two terminated users retained access to ERP or Payroll.</x:v>
      </x:c>
      <x:c r="G2" s="10" t="str">
        <x:v>Unauthorized post-termination access may enable fraud, misuse, or data exposure.</x:v>
      </x:c>
      <x:c r="H2" s="10" t="str">
        <x:v>Disable access immediately and reconcile HR terminations to all in-scope systems daily.</x:v>
      </x:c>
      <x:c r="I2" s="10" t="str">
        <x:v>Implement daily HR-to-IAM termination reconciliation and retain evidence.</x:v>
      </x:c>
      <x:c r="J2" s="10" t="str">
        <x:v>Open</x:v>
      </x:c>
    </x:row>
    <x:row r="3" ht="26.399999618530273" hidden="0" customHeight="1">
      <x:c r="A3" s="10" t="str">
        <x:v>F-002</x:v>
      </x:c>
      <x:c r="B3" s="10" t="str">
        <x:v>MFA not enforced for privileged and sensitive-system access</x:v>
      </x:c>
      <x:c r="C3" s="10" t="str">
        <x:v>Critical</x:v>
      </x:c>
      <x:c r="D3" s="10" t="str">
        <x:v>Access Management</x:v>
      </x:c>
      <x:c r="E3" s="10" t="str">
        <x:v>NIST IA-2; NIST AC-6; SOC 2 CC6.1</x:v>
      </x:c>
      <x:c r="F3" s="10" t="str">
        <x:v>Privileged/sensitive users were identified without MFA.</x:v>
      </x:c>
      <x:c r="G3" s="10" t="str">
        <x:v>Credential compromise could grant access to high-risk systems without a second factor.</x:v>
      </x:c>
      <x:c r="H3" s="10" t="str">
        <x:v>Enforce MFA for all privileged accounts and all ERP, Payroll, Financial System, and AD access.</x:v>
      </x:c>
      <x:c r="I3" s="10" t="str">
        <x:v>Update conditional access and produce monthly MFA exception reports.</x:v>
      </x:c>
      <x:c r="J3" s="10" t="str">
        <x:v>Open</x:v>
      </x:c>
    </x:row>
    <x:row r="4" ht="26.399999618530273" hidden="0" customHeight="1">
      <x:c r="A4" s="10" t="str">
        <x:v>F-003</x:v>
      </x:c>
      <x:c r="B4" s="10" t="str">
        <x:v>Change records contain approval, testing, and SOD exceptions</x:v>
      </x:c>
      <x:c r="C4" s="10" t="str">
        <x:v>High</x:v>
      </x:c>
      <x:c r="D4" s="10" t="str">
        <x:v>Change Management</x:v>
      </x:c>
      <x:c r="E4" s="10" t="str">
        <x:v>NIST CM-3; SOC 2 CC7.1; COBIT BAI06</x:v>
      </x:c>
      <x:c r="F4" s="10" t="str">
        <x:v>Change population included missing approval, testing, timing, and SOD exceptions.</x:v>
      </x:c>
      <x:c r="G4" s="10" t="str">
        <x:v>Unauthorized or inadequately tested changes may impact production availability and data integrity.</x:v>
      </x:c>
      <x:c r="H4" s="10" t="str">
        <x:v>Configure mandatory workflow fields and independent approval requirements.</x:v>
      </x:c>
      <x:c r="I4" s="10" t="str">
        <x:v>Change Manager will update workflow rules and perform monthly exception review.</x:v>
      </x:c>
      <x:c r="J4" s="10" t="str">
        <x:v>In Progress</x:v>
      </x:c>
    </x:row>
    <x:row r="5" ht="26.399999618530273" hidden="0" customHeight="1">
      <x:c r="A5" s="10" t="str">
        <x:v>F-004</x:v>
      </x:c>
      <x:c r="B5" s="10" t="str">
        <x:v>Risk remediation governance is incomplete</x:v>
      </x:c>
      <x:c r="C5" s="10" t="str">
        <x:v>High</x:v>
      </x:c>
      <x:c r="D5" s="10" t="str">
        <x:v>Risk Governance</x:v>
      </x:c>
      <x:c r="E5" s="10" t="str">
        <x:v>NIST RA-5; NIST SI-2; COBIT APO12</x:v>
      </x:c>
      <x:c r="F5" s="10" t="str">
        <x:v>Risk register included overdue items, missing owner, and weak/no controls.</x:v>
      </x:c>
      <x:c r="G5" s="10" t="str">
        <x:v>High-priority risks may remain unresolved without ownership or management visibility.</x:v>
      </x:c>
      <x:c r="H5" s="10" t="str">
        <x:v>Maintain POA&amp;M tracker, define escalation thresholds, and require risk acceptance approvals.</x:v>
      </x:c>
      <x:c r="I5" s="10" t="str">
        <x:v>GRC owner will review overdue items monthly with leadership.</x:v>
      </x:c>
      <x:c r="J5" s="10" t="str">
        <x:v>Open</x:v>
      </x:c>
    </x:row>
    <x:row r="6" ht="26.399999618530273" hidden="0" customHeight="1">
      <x:c r="A6" s="10" t="str">
        <x:v>F-005</x:v>
      </x:c>
      <x:c r="B6" s="10" t="str">
        <x:v>Backup restore evidence is incomplete</x:v>
      </x:c>
      <x:c r="C6" s="10" t="str">
        <x:v>Medium</x:v>
      </x:c>
      <x:c r="D6" s="10" t="str">
        <x:v>Computer Operations</x:v>
      </x:c>
      <x:c r="E6" s="10" t="str">
        <x:v>NIST CP-9; NIST CP-10; SOC 2 CC7.3</x:v>
      </x:c>
      <x:c r="F6" s="10" t="str">
        <x:v>Backup logs were available but restore-test sign-off was incomplete.</x:v>
      </x:c>
      <x:c r="G6" s="10" t="str">
        <x:v>Recoverability may not be demonstrable during an audit or incident.</x:v>
      </x:c>
      <x:c r="H6" s="10" t="str">
        <x:v>Formalize quarterly restore tests and retain validation evidence and approver sign-off.</x:v>
      </x:c>
      <x:c r="I6" s="10" t="str">
        <x:v>IT Operations will formalize quarterly restore testing.</x:v>
      </x:c>
      <x:c r="J6" s="10" t="str">
        <x:v>Planned</x:v>
      </x:c>
    </x:row>
  </x:sheetData>
  <x:conditionalFormatting sqref="C2:C6">
    <x:cfRule type="containsText" dxfId="64" priority="1" operator="containsText" text="Critical"/>
    <x:cfRule type="containsText" dxfId="65" priority="2" operator="containsText" text="High"/>
    <x:cfRule type="containsText" dxfId="66" priority="3" operator="containsText" text="Medium"/>
    <x:cfRule type="containsText" dxfId="67" priority="4" operator="containsText" text="Low"/>
  </x:conditionalFormatting>
  <x:conditionalFormatting sqref="J2:J6">
    <x:cfRule type="containsText" dxfId="68" priority="5" operator="containsText" text="Effective"/>
    <x:cfRule type="containsText" dxfId="69" priority="6" operator="containsText" text="Needs Improvement"/>
    <x:cfRule type="containsText" dxfId="70" priority="7" operator="containsText" text="Deficient"/>
    <x:cfRule type="containsText" dxfId="71" priority="8" operator="containsText" text="Open"/>
    <x:cfRule type="containsText" dxfId="72" priority="9" operator="containsText" text="In Progress"/>
    <x:cfRule type="containsText" dxfId="73" priority="10" operator="containsText" text="Planned"/>
    <x:cfRule type="containsText" dxfId="74" priority="11" operator="containsText" text="Closed"/>
    <x:cfRule type="containsText" dxfId="75" priority="12" operator="containsText" text="Pass"/>
    <x:cfRule type="containsText" dxfId="76" priority="13" operator="containsText" text="Exception"/>
    <x:cfRule type="containsText" dxfId="77" priority="14" operator="containsText" text="Reliable"/>
    <x:cfRule type="containsText" dxfId="78" priority="15" operator="containsText" text="Partially Reliable"/>
    <x:cfRule type="containsText" dxfId="79" priority="16" operator="containsText" text="Insufficient"/>
  </x:conditionalFormatting>
  <x:dataValidations count="2">
    <x:dataValidation type="list" sqref="C2:C6">
      <x:formula1>"Critical,High,Medium,Low"</x:formula1>
    </x:dataValidation>
    <x:dataValidation type="list" sqref="J2:J6">
      <x:formula1>"Open,In Progress,Planned,Closed"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42" hidden="0" customWidth="1"/>
    <x:col min="5" max="5" width="14" hidden="0" customWidth="1"/>
    <x:col min="6" max="6" width="48" hidden="0" customWidth="1"/>
    <x:col min="7" max="7" width="24" hidden="0" customWidth="1"/>
    <x:col min="8" max="8" width="20" hidden="0" customWidth="1"/>
    <x:col min="9" max="9" width="14" hidden="0" customWidth="1"/>
    <x:col min="10" max="10" width="38" hidden="0" customWidth="1"/>
    <x:col min="11" max="11" width="16" hidden="0" customWidth="1"/>
  </x:cols>
  <x:sheetData>
    <x:row r="1" ht="26.399999618530273" hidden="0" customHeight="1">
      <x:c r="A1" s="12" t="str">
        <x:v>Weakness ID</x:v>
      </x:c>
      <x:c r="B1" s="12" t="str">
        <x:v>Finding ID</x:v>
      </x:c>
      <x:c r="C1" s="12" t="str">
        <x:v>Control ID</x:v>
      </x:c>
      <x:c r="D1" s="12" t="str">
        <x:v>Weakness</x:v>
      </x:c>
      <x:c r="E1" s="12" t="str">
        <x:v>Risk Level</x:v>
      </x:c>
      <x:c r="F1" s="12" t="str">
        <x:v>Milestone / Corrective Action</x:v>
      </x:c>
      <x:c r="G1" s="12" t="str">
        <x:v>Owner</x:v>
      </x:c>
      <x:c r="H1" s="12" t="str">
        <x:v>Planned Completion Date</x:v>
      </x:c>
      <x:c r="I1" s="12" t="str">
        <x:v>Status</x:v>
      </x:c>
      <x:c r="J1" s="12" t="str">
        <x:v>Validation Evidence</x:v>
      </x:c>
      <x:c r="K1" s="12" t="str">
        <x:v>Retest Status</x:v>
      </x:c>
    </x:row>
    <x:row r="2" ht="26.399999618530273" hidden="0" customHeight="1">
      <x:c r="A2" s="10" t="str">
        <x:v>POAM-001</x:v>
      </x:c>
      <x:c r="B2" s="10" t="str">
        <x:v>F-001</x:v>
      </x:c>
      <x:c r="C2" s="10" t="str">
        <x:v>AC-02</x:v>
      </x:c>
      <x:c r="D2" s="10" t="str">
        <x:v>Terminated users retained system access.</x:v>
      </x:c>
      <x:c r="E2" s="10" t="str">
        <x:v>Critical</x:v>
      </x:c>
      <x:c r="F2" s="10" t="str">
        <x:v>Implement daily HR-to-IAM reconciliation and remove identified accounts.</x:v>
      </x:c>
      <x:c r="G2" s="10" t="str">
        <x:v>IT Operations Manager</x:v>
      </x:c>
      <x:c r="H2" s="16" t="n">
        <x:v>46249</x:v>
      </x:c>
      <x:c r="I2" s="10" t="str">
        <x:v>Open</x:v>
      </x:c>
      <x:c r="J2" s="10" t="str">
        <x:v>Termination reconciliation log; disabled-account export</x:v>
      </x:c>
      <x:c r="K2" s="10" t="str">
        <x:v>Not Started</x:v>
      </x:c>
    </x:row>
    <x:row r="3" ht="26.399999618530273" hidden="0" customHeight="1">
      <x:c r="A3" s="10" t="str">
        <x:v>POAM-002</x:v>
      </x:c>
      <x:c r="B3" s="10" t="str">
        <x:v>F-002</x:v>
      </x:c>
      <x:c r="C3" s="10" t="str">
        <x:v>AC-03</x:v>
      </x:c>
      <x:c r="D3" s="10" t="str">
        <x:v>MFA not enforced for privileged and sensitive-system access.</x:v>
      </x:c>
      <x:c r="E3" s="10" t="str">
        <x:v>Critical</x:v>
      </x:c>
      <x:c r="F3" s="10" t="str">
        <x:v>Update conditional access policy and require CISO approval for exceptions.</x:v>
      </x:c>
      <x:c r="G3" s="10" t="str">
        <x:v>Security Engineering Lead</x:v>
      </x:c>
      <x:c r="H3" s="16" t="n">
        <x:v>46264</x:v>
      </x:c>
      <x:c r="I3" s="10" t="str">
        <x:v>Open</x:v>
      </x:c>
      <x:c r="J3" s="10" t="str">
        <x:v>MFA policy screenshot; exception report</x:v>
      </x:c>
      <x:c r="K3" s="10" t="str">
        <x:v>Not Started</x:v>
      </x:c>
    </x:row>
    <x:row r="4" ht="26.399999618530273" hidden="0" customHeight="1">
      <x:c r="A4" s="10" t="str">
        <x:v>POAM-003</x:v>
      </x:c>
      <x:c r="B4" s="10" t="str">
        <x:v>F-003</x:v>
      </x:c>
      <x:c r="C4" s="10" t="str">
        <x:v>CM-01; CM-02; CM-03</x:v>
      </x:c>
      <x:c r="D4" s="10" t="str">
        <x:v>Change workflow allows closure with missing approval/testing/SOD evidence.</x:v>
      </x:c>
      <x:c r="E4" s="10" t="str">
        <x:v>High</x:v>
      </x:c>
      <x:c r="F4" s="10" t="str">
        <x:v>Configure required workflow fields and monthly change exception review.</x:v>
      </x:c>
      <x:c r="G4" s="10" t="str">
        <x:v>Change Manager</x:v>
      </x:c>
      <x:c r="H4" s="16" t="n">
        <x:v>46280</x:v>
      </x:c>
      <x:c r="I4" s="10" t="str">
        <x:v>In Progress</x:v>
      </x:c>
      <x:c r="J4" s="10" t="str">
        <x:v>Workflow configuration; exception review minutes</x:v>
      </x:c>
      <x:c r="K4" s="10" t="str">
        <x:v>Pending</x:v>
      </x:c>
    </x:row>
    <x:row r="5" ht="26.399999618530273" hidden="0" customHeight="1">
      <x:c r="A5" s="10" t="str">
        <x:v>POAM-004</x:v>
      </x:c>
      <x:c r="B5" s="10" t="str">
        <x:v>F-004</x:v>
      </x:c>
      <x:c r="C5" s="10" t="str">
        <x:v>VM-01</x:v>
      </x:c>
      <x:c r="D5" s="10" t="str">
        <x:v>Overdue risks and weak controls lack consistent escalation.</x:v>
      </x:c>
      <x:c r="E5" s="10" t="str">
        <x:v>High</x:v>
      </x:c>
      <x:c r="F5" s="10" t="str">
        <x:v>Assign owners, refresh due dates, and review POA&amp;M monthly.</x:v>
      </x:c>
      <x:c r="G5" s="10" t="str">
        <x:v>GRC Owner</x:v>
      </x:c>
      <x:c r="H5" s="16" t="n">
        <x:v>46295</x:v>
      </x:c>
      <x:c r="I5" s="10" t="str">
        <x:v>Open</x:v>
      </x:c>
      <x:c r="J5" s="10" t="str">
        <x:v>Updated risk register; leadership review evidence</x:v>
      </x:c>
      <x:c r="K5" s="10" t="str">
        <x:v>Not Started</x:v>
      </x:c>
    </x:row>
    <x:row r="6" ht="26.399999618530273" hidden="0" customHeight="1">
      <x:c r="A6" s="10" t="str">
        <x:v>POAM-005</x:v>
      </x:c>
      <x:c r="B6" s="10" t="str">
        <x:v>F-005</x:v>
      </x:c>
      <x:c r="C6" s="10" t="str">
        <x:v>BC-01</x:v>
      </x:c>
      <x:c r="D6" s="10" t="str">
        <x:v>Restore-test evidence lacks validation and sign-off.</x:v>
      </x:c>
      <x:c r="E6" s="10" t="str">
        <x:v>Medium</x:v>
      </x:c>
      <x:c r="F6" s="10" t="str">
        <x:v>Perform quarterly restore tests and retain complete evidence package.</x:v>
      </x:c>
      <x:c r="G6" s="10" t="str">
        <x:v>IT Operations Manager</x:v>
      </x:c>
      <x:c r="H6" s="16" t="n">
        <x:v>46310</x:v>
      </x:c>
      <x:c r="I6" s="10" t="str">
        <x:v>Planned</x:v>
      </x:c>
      <x:c r="J6" s="10" t="str">
        <x:v>Restore test results; approval sign-off</x:v>
      </x:c>
      <x:c r="K6" s="10" t="str">
        <x:v>Not Started</x:v>
      </x:c>
    </x:row>
  </x:sheetData>
  <x:conditionalFormatting sqref="E2:E6">
    <x:cfRule type="containsText" dxfId="80" priority="1" operator="containsText" text="Critical"/>
    <x:cfRule type="containsText" dxfId="81" priority="2" operator="containsText" text="High"/>
    <x:cfRule type="containsText" dxfId="82" priority="3" operator="containsText" text="Medium"/>
    <x:cfRule type="containsText" dxfId="83" priority="4" operator="containsText" text="Low"/>
  </x:conditionalFormatting>
  <x:conditionalFormatting sqref="I2:I6">
    <x:cfRule type="containsText" dxfId="84" priority="5" operator="containsText" text="Effective"/>
    <x:cfRule type="containsText" dxfId="85" priority="6" operator="containsText" text="Needs Improvement"/>
    <x:cfRule type="containsText" dxfId="86" priority="7" operator="containsText" text="Deficient"/>
    <x:cfRule type="containsText" dxfId="87" priority="8" operator="containsText" text="Open"/>
    <x:cfRule type="containsText" dxfId="88" priority="9" operator="containsText" text="In Progress"/>
    <x:cfRule type="containsText" dxfId="89" priority="10" operator="containsText" text="Planned"/>
    <x:cfRule type="containsText" dxfId="90" priority="11" operator="containsText" text="Closed"/>
    <x:cfRule type="containsText" dxfId="91" priority="12" operator="containsText" text="Pass"/>
    <x:cfRule type="containsText" dxfId="92" priority="13" operator="containsText" text="Exception"/>
    <x:cfRule type="containsText" dxfId="93" priority="14" operator="containsText" text="Reliable"/>
    <x:cfRule type="containsText" dxfId="94" priority="15" operator="containsText" text="Partially Reliable"/>
    <x:cfRule type="containsText" dxfId="95" priority="16" operator="containsText" text="Insufficient"/>
  </x:conditionalFormatting>
  <x:dataValidations count="1">
    <x:dataValidation type="list" sqref="I2:I6">
      <x:formula1>"Open,In Progress,Planned,Closed"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22" hidden="0" customWidth="1"/>
    <x:col min="6" max="6" width="42" hidden="0" customWidth="1"/>
  </x:cols>
  <x:sheetData>
    <x:row r="1" ht="15" hidden="0" customHeight="1">
      <x:c r="A1" s="12" t="str">
        <x:v>Control ID</x:v>
      </x:c>
      <x:c r="B1" s="12" t="str">
        <x:v>NIST SP 800-53 Rev. 5</x:v>
      </x:c>
      <x:c r="C1" s="12" t="str">
        <x:v>SOC 2 TSC</x:v>
      </x:c>
      <x:c r="D1" s="12" t="str">
        <x:v>COBIT 2019</x:v>
      </x:c>
      <x:c r="E1" s="12" t="str">
        <x:v>NIST CSF 2.0</x:v>
      </x:c>
      <x:c r="F1" s="12" t="str">
        <x:v>CISA Domain</x:v>
      </x:c>
    </x:row>
    <x:row r="2" ht="15" hidden="0" customHeight="1">
      <x:c r="A2" s="10" t="str">
        <x:v>AC-01</x:v>
      </x:c>
      <x:c r="B2" s="10" t="str">
        <x:v>AC-2</x:v>
      </x:c>
      <x:c r="C2" s="10" t="str">
        <x:v>CC6.2</x:v>
      </x:c>
      <x:c r="D2" s="10" t="str">
        <x:v>DSS05</x:v>
      </x:c>
      <x:c r="E2" s="10" t="str">
        <x:v>PR.AA; GV.RM</x:v>
      </x:c>
      <x:c r="F2" s="10" t="str">
        <x:v>Domain 5 - Protection of Information Assets</x:v>
      </x:c>
    </x:row>
    <x:row r="3" ht="15" hidden="0" customHeight="1">
      <x:c r="A3" s="10" t="str">
        <x:v>AC-02</x:v>
      </x:c>
      <x:c r="B3" s="10" t="str">
        <x:v>AC-2</x:v>
      </x:c>
      <x:c r="C3" s="10" t="str">
        <x:v>CC6.2</x:v>
      </x:c>
      <x:c r="D3" s="10" t="str">
        <x:v>DSS05</x:v>
      </x:c>
      <x:c r="E3" s="10" t="str">
        <x:v>PR.AA</x:v>
      </x:c>
      <x:c r="F3" s="10" t="str">
        <x:v>Domain 5 - Protection of Information Assets</x:v>
      </x:c>
    </x:row>
    <x:row r="4" ht="15" hidden="0" customHeight="1">
      <x:c r="A4" s="10" t="str">
        <x:v>AC-03</x:v>
      </x:c>
      <x:c r="B4" s="10" t="str">
        <x:v>IA-2; AC-6</x:v>
      </x:c>
      <x:c r="C4" s="10" t="str">
        <x:v>CC6.1; CC6.6</x:v>
      </x:c>
      <x:c r="D4" s="10" t="str">
        <x:v>DSS05</x:v>
      </x:c>
      <x:c r="E4" s="10" t="str">
        <x:v>PR.AA; PR.DS</x:v>
      </x:c>
      <x:c r="F4" s="10" t="str">
        <x:v>Domain 5 - Protection of Information Assets</x:v>
      </x:c>
    </x:row>
    <x:row r="5" ht="15" hidden="0" customHeight="1">
      <x:c r="A5" s="10" t="str">
        <x:v>AC-04</x:v>
      </x:c>
      <x:c r="B5" s="10" t="str">
        <x:v>AC-6</x:v>
      </x:c>
      <x:c r="C5" s="10" t="str">
        <x:v>CC6.3</x:v>
      </x:c>
      <x:c r="D5" s="10" t="str">
        <x:v>DSS05</x:v>
      </x:c>
      <x:c r="E5" s="10" t="str">
        <x:v>PR.AA</x:v>
      </x:c>
      <x:c r="F5" s="10" t="str">
        <x:v>Domain 5 - Protection of Information Assets</x:v>
      </x:c>
    </x:row>
    <x:row r="6" ht="15" hidden="0" customHeight="1">
      <x:c r="A6" s="10" t="str">
        <x:v>CM-01</x:v>
      </x:c>
      <x:c r="B6" s="10" t="str">
        <x:v>CM-3</x:v>
      </x:c>
      <x:c r="C6" s="10" t="str">
        <x:v>CC7.1</x:v>
      </x:c>
      <x:c r="D6" s="10" t="str">
        <x:v>BAI06</x:v>
      </x:c>
      <x:c r="E6" s="10" t="str">
        <x:v>PR.PS; GV.PO</x:v>
      </x:c>
      <x:c r="F6" s="10" t="str">
        <x:v>Domain 4 - Operations and Business Resilience</x:v>
      </x:c>
    </x:row>
    <x:row r="7" ht="15" hidden="0" customHeight="1">
      <x:c r="A7" s="10" t="str">
        <x:v>CM-02</x:v>
      </x:c>
      <x:c r="B7" s="10" t="str">
        <x:v>CM-3; AC-5</x:v>
      </x:c>
      <x:c r="C7" s="10" t="str">
        <x:v>CC7.1</x:v>
      </x:c>
      <x:c r="D7" s="10" t="str">
        <x:v>BAI06</x:v>
      </x:c>
      <x:c r="E7" s="10" t="str">
        <x:v>GV.OV; PR.PS</x:v>
      </x:c>
      <x:c r="F7" s="10" t="str">
        <x:v>Domain 4 - Operations and Business Resilience</x:v>
      </x:c>
    </x:row>
    <x:row r="8" ht="26.399999618530273" hidden="0" customHeight="1">
      <x:c r="A8" s="10" t="str">
        <x:v>CM-03</x:v>
      </x:c>
      <x:c r="B8" s="10" t="str">
        <x:v>CM-3</x:v>
      </x:c>
      <x:c r="C8" s="10" t="str">
        <x:v>CC7.1</x:v>
      </x:c>
      <x:c r="D8" s="10" t="str">
        <x:v>BAI06</x:v>
      </x:c>
      <x:c r="E8" s="10" t="str">
        <x:v>PR.PS</x:v>
      </x:c>
      <x:c r="F8" s="10" t="str">
        <x:v>Domain 3 - Acquisition, Development and Implementation</x:v>
      </x:c>
    </x:row>
    <x:row r="9" ht="15" hidden="0" customHeight="1">
      <x:c r="A9" s="10" t="str">
        <x:v>OP-01</x:v>
      </x:c>
      <x:c r="B9" s="10" t="str">
        <x:v>AU-2; AU-6</x:v>
      </x:c>
      <x:c r="C9" s="10" t="str">
        <x:v>CC7.2</x:v>
      </x:c>
      <x:c r="D9" s="10" t="str">
        <x:v>DSS01; DSS05</x:v>
      </x:c>
      <x:c r="E9" s="10" t="str">
        <x:v>DE.CM</x:v>
      </x:c>
      <x:c r="F9" s="10" t="str">
        <x:v>Domain 4 - Operations and Business Resilience</x:v>
      </x:c>
    </x:row>
    <x:row r="10" ht="15" hidden="0" customHeight="1">
      <x:c r="A10" s="10" t="str">
        <x:v>VM-01</x:v>
      </x:c>
      <x:c r="B10" s="10" t="str">
        <x:v>RA-5; SI-2</x:v>
      </x:c>
      <x:c r="C10" s="10" t="str">
        <x:v>CC7.1; CC7.3</x:v>
      </x:c>
      <x:c r="D10" s="10" t="str">
        <x:v>APO12; DSS05</x:v>
      </x:c>
      <x:c r="E10" s="10" t="str">
        <x:v>ID.RA; GV.RM; PR.PS</x:v>
      </x:c>
      <x:c r="F10" s="10" t="str">
        <x:v>Domain 2 - Governance and Management of IT</x:v>
      </x:c>
    </x:row>
    <x:row r="11" ht="15" hidden="0" customHeight="1">
      <x:c r="A11" s="10" t="str">
        <x:v>BC-01</x:v>
      </x:c>
      <x:c r="B11" s="10" t="str">
        <x:v>CP-9; CP-10</x:v>
      </x:c>
      <x:c r="C11" s="10" t="str">
        <x:v>CC7.3</x:v>
      </x:c>
      <x:c r="D11" s="10" t="str">
        <x:v>DSS01</x:v>
      </x:c>
      <x:c r="E11" s="10" t="str">
        <x:v>RC.RP; RC.CO</x:v>
      </x:c>
      <x:c r="F11" s="10" t="str">
        <x:v>Domain 4 - Operations and Business Resilience</x:v>
      </x:c>
    </x:row>
  </x:sheetData>
  <x:pageMargins left="0.7" right="0.7" top="0.75" bottom="0.75" header="0.3" footer="0.3"/>
</x:worksheet>
</file>